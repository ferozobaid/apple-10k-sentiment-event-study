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erozobaidkhan/Library/Mobile Documents/com~apple~CloudDocs/McGill -Masters of Management Analytic/Winter 2 - 26/ACCT 626 - Data Analytics in Accouting/Project/"/>
    </mc:Choice>
  </mc:AlternateContent>
  <xr:revisionPtr revIDLastSave="0" documentId="8_{BBC4A6B6-9552-9548-ABF5-8FAA72B89274}" xr6:coauthVersionLast="47" xr6:coauthVersionMax="47" xr10:uidLastSave="{00000000-0000-0000-0000-000000000000}"/>
  <bookViews>
    <workbookView xWindow="160" yWindow="920" windowWidth="29080" windowHeight="16820" tabRatio="500" activeTab="5" xr2:uid="{00000000-000D-0000-FFFF-FFFF00000000}"/>
  </bookViews>
  <sheets>
    <sheet name="Executive Summary" sheetId="2" r:id="rId1"/>
    <sheet name="Task Contributions" sheetId="3" r:id="rId2"/>
    <sheet name="Gen AI Disclosure" sheetId="4" r:id="rId3"/>
    <sheet name="Data Tables" sheetId="5" r:id="rId4"/>
    <sheet name="Results Summary" sheetId="6" r:id="rId5"/>
    <sheet name="Reference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7" i="5" l="1"/>
  <c r="I27" i="5"/>
  <c r="H27" i="5"/>
  <c r="G27" i="5"/>
  <c r="F27" i="5"/>
  <c r="E27" i="5"/>
  <c r="D27" i="5"/>
  <c r="C27" i="5"/>
  <c r="J26" i="5"/>
  <c r="I26" i="5"/>
  <c r="H26" i="5"/>
  <c r="G26" i="5"/>
  <c r="F26" i="5"/>
  <c r="E26" i="5"/>
  <c r="D26" i="5"/>
  <c r="C26" i="5"/>
  <c r="J25" i="5"/>
  <c r="I25" i="5"/>
  <c r="H25" i="5"/>
  <c r="G25" i="5"/>
  <c r="F25" i="5"/>
  <c r="E25" i="5"/>
  <c r="D25" i="5"/>
  <c r="C25" i="5"/>
  <c r="J24" i="5"/>
  <c r="I24" i="5"/>
  <c r="H24" i="5"/>
  <c r="G24" i="5"/>
  <c r="F24" i="5"/>
  <c r="E24" i="5"/>
  <c r="D24" i="5"/>
  <c r="C24" i="5"/>
  <c r="C26" i="3"/>
  <c r="E16" i="3"/>
</calcChain>
</file>

<file path=xl/sharedStrings.xml><?xml version="1.0" encoding="utf-8"?>
<sst xmlns="http://schemas.openxmlformats.org/spreadsheetml/2006/main" count="233" uniqueCount="211">
  <si>
    <t>Executive Summary</t>
  </si>
  <si>
    <t>1. Project Objectives</t>
  </si>
  <si>
    <t>This project tests whether Apple Inc.'s annual 10-K filings (2010–2024) produce abnormal stock returns around the filing date, and whether those returns can be explained by (a) the tone of the 10-K text and (b) the earnings surprise released at the prior earnings announcement. The study draws on Loughran &amp; McDonald (2011), who show that dictionary-based sentiment of 10-K filings predicts short-window abnormal returns across a broad cross-section of firms.</t>
  </si>
  <si>
    <t>2. Research Question and Hypotheses</t>
  </si>
  <si>
    <t>Research Question</t>
  </si>
  <si>
    <t>Do Apple's 10-K filings generate abnormal returns, and are those returns driven by textual sentiment, earnings surprise, or neither?</t>
  </si>
  <si>
    <t>H1</t>
  </si>
  <si>
    <t>More negative sentiment in the 10-K is associated with more negative CAR around the filing date.</t>
  </si>
  <si>
    <t>H2</t>
  </si>
  <si>
    <t>Controlling for sentiment, positive earnings surprise is associated with positive CAR.</t>
  </si>
  <si>
    <t>H3 (robustness)</t>
  </si>
  <si>
    <t>Effects persist across alternative sentiment measures (net tone, uncertainty) and alternative event windows.</t>
  </si>
  <si>
    <t>3. Methods</t>
  </si>
  <si>
    <t>Sample</t>
  </si>
  <si>
    <t>15 Apple 10-K filings, fiscal years 2010 through 2024 (from SEC EDGAR).</t>
  </si>
  <si>
    <t>Returns</t>
  </si>
  <si>
    <t>CRSP daily returns for AAPL (PERMNO 14593) and CRSP value-weighted market index.</t>
  </si>
  <si>
    <t>Abnormal Returns</t>
  </si>
  <si>
    <t>Market model with firm beta estimated on a pre-event window; CARs computed over [0,+1], [0,+3], [0,+5], and [+1,+10].</t>
  </si>
  <si>
    <t>Text Processing</t>
  </si>
  <si>
    <t>Downloaded 10-K HTML from EDGAR, stripped HTML/boilerplate, tokenized body text. Loughran-McDonald (2020) dictionary applied to score each filing on negative, positive, uncertainty, litigious, and net tone.</t>
  </si>
  <si>
    <t>Earnings Surprise</t>
  </si>
  <si>
    <t>Pre-announcement I/B/E/S consensus EPS vs. actual reported EPS. Both dollar surprise and percent surprise (actual − consensus) ÷ |consensus| computed.</t>
  </si>
  <si>
    <t>Regression</t>
  </si>
  <si>
    <t>OLS: CAR_0_3 = α + β₁·neg_pct + β₂·surprise_pct + ε, plus five robustness specifications (net tone; uncertainty; CAR[0,+1]; CAR[+1,+10] for drift; sentiment alone with no surprise control).</t>
  </si>
  <si>
    <t>4. Key Findings</t>
  </si>
  <si>
    <t>Mean CAR[0,+3]</t>
  </si>
  <si>
    <t>−0.74% across 15 filings. Individual filing CARs range from −6.00% (FY2024) to +4.43% (FY2017). High variance, no clean pattern.</t>
  </si>
  <si>
    <t>CAAR drift</t>
  </si>
  <si>
    <t>Cumulative average abnormal return drifts from roughly 0% at filing to approximately −3.5% by day +10, consistent with post-filing negative drift.</t>
  </si>
  <si>
    <t>Sentiment → CAR</t>
  </si>
  <si>
    <t>NOT statistically significant in any specification. Negative word %: β = −0.020, p = 0.638 (main regression). Net tone and uncertainty also insignificant. R² ≈ 0.08, adjusted R² is negative.</t>
  </si>
  <si>
    <t>Surprise → CAR[+1,+10]</t>
  </si>
  <si>
    <t>STATISTICALLY SIGNIFICANT. Earnings surprise coefficient β = 1.734, p = 0.042, model R² = 0.317. One percentage point of positive surprise is associated with ~1.73 pp of post-filing drift over days +1 to +10.</t>
  </si>
  <si>
    <t>Trend in sentiment</t>
  </si>
  <si>
    <t>Negative word % has risen monotonically from 1.70% (FY2010) to 2.33% (FY2024). Net tone has become more negative (−0.98% to −1.67%). 10-K language is getting more cautious over time, but this trend does not translate into return effects.</t>
  </si>
  <si>
    <t>Beat/miss rate</t>
  </si>
  <si>
    <t>Apple beat consensus in 14 of 15 years (93%). Mean surprise = 1.27%. Only FY2012 was a miss.</t>
  </si>
  <si>
    <t>5. Interpretation</t>
  </si>
  <si>
    <t>The null result on sentiment is itself informative. Three explanations are plausible. First, statistical power: N=15 is a very small sample and the confidence intervals around our sentiment coefficients are wide. We would not expect to detect the modest effect sizes documented in Loughran &amp; McDonald (2011) with only 15 observations. Second, price discovery: Apple's 10-Ks are filed after the earnings announcement, so the material news has already been impounded into the stock price before the 10-K hits EDGAR — consistent with the weak filing-day reaction and with surprise mattering more for the post-filing drift than for the immediate filing window. Third, single-firm design: Apple is one of the most heavily analyzed firms in the world; any textual signal in its 10-K is likely redundant with analyst coverage.</t>
  </si>
  <si>
    <t>6. Recommendations</t>
  </si>
  <si>
    <t>Expand the sample: repeat the design on a cross-section of S&amp;P 500 filings to recover statistical power.</t>
  </si>
  <si>
    <t>Use earnings announcement as the event, not the 10-K filing. EAs are where the market-moving news lands; 10-K filings are largely confirmatory for large-cap firms.</t>
  </si>
  <si>
    <t>Decompose the 10-K: test whether sentiment in Risk Factors (Item 1A) and MD&amp;A (Item 7) has different effects from overall tone. Loughran &amp; McDonald (2011) find these sections matter differently.</t>
  </si>
  <si>
    <t>Control for firm size, book-to-market, and analyst coverage in a cross-sectional setting.</t>
  </si>
  <si>
    <t>Explore the post-filing drift finding further: is the CAR[+1,+10] relationship with surprise driven by post-earnings-announcement drift (PEAD) rather than anything 10-K-specific?</t>
  </si>
  <si>
    <t>Individual Tasks &amp; Contributions</t>
  </si>
  <si>
    <t>#</t>
  </si>
  <si>
    <t>Task / Module</t>
  </si>
  <si>
    <t>Primary Owner</t>
  </si>
  <si>
    <t>Description</t>
  </si>
  <si>
    <t>Share</t>
  </si>
  <si>
    <t>M01</t>
  </si>
  <si>
    <t>Sample construction: pull Apple 10-K filings list from SEC EDGAR (2010–2024)</t>
  </si>
  <si>
    <t>Feroz</t>
  </si>
  <si>
    <t>Identified 15 filings, extracted filing dates, report dates, primary document URLs</t>
  </si>
  <si>
    <t>M02</t>
  </si>
  <si>
    <t>10-K text extraction: download HTML, strip tags/boilerplate, tokenize</t>
  </si>
  <si>
    <t>Hank</t>
  </si>
  <si>
    <t>Built extraction pipeline; verified token counts across all 15 filings</t>
  </si>
  <si>
    <t>M02b</t>
  </si>
  <si>
    <t>Extraction QA: validate token counts, check for truncation</t>
  </si>
  <si>
    <t>Sanity checks on LINES_* datasets; confirmed Apple_10k_tokens = 556,733 total tokens</t>
  </si>
  <si>
    <t>M03</t>
  </si>
  <si>
    <t>Sentiment scoring with Loughran-McDonald dictionary</t>
  </si>
  <si>
    <t>Chloe</t>
  </si>
  <si>
    <t>Merged LM dictionary (86,553 words); computed neg/pos/unc/lit % and net tone by filing</t>
  </si>
  <si>
    <t>M04</t>
  </si>
  <si>
    <t>CRSP data pull: AAPL daily returns and market returns (2009–2025)</t>
  </si>
  <si>
    <t>Henry</t>
  </si>
  <si>
    <t>Looked up PERMNO 14593; pulled raw and split-adjusted prices; constructed ret_aapl and ret_mkt</t>
  </si>
  <si>
    <t>M05</t>
  </si>
  <si>
    <t>Event-study mechanics: abnormal returns, AAR, CAAR, CAR windows</t>
  </si>
  <si>
    <t>Estimated market model, computed CAR[0,+1], [0,+3], [0,+5], [+1,+10] for each filing</t>
  </si>
  <si>
    <t>M05b</t>
  </si>
  <si>
    <t>Earnings surprise: I/B/E/S consensus vs. actual EPS</t>
  </si>
  <si>
    <t>Pulled pre-announcement consensus; computed dollar surprise, percent surprise, SUE</t>
  </si>
  <si>
    <t>M06</t>
  </si>
  <si>
    <t>Visualization: AAR, CAAR, CAR-by-filing, sentiment trends</t>
  </si>
  <si>
    <t>Produced all charts used in the final deck</t>
  </si>
  <si>
    <t>M07</t>
  </si>
  <si>
    <t>Master regression and robustness tests</t>
  </si>
  <si>
    <t>Main regression + 5 robustness specs; descriptive stats and correlations</t>
  </si>
  <si>
    <t>—</t>
  </si>
  <si>
    <t>Final write-up, slide deck, Excel workbook</t>
  </si>
  <si>
    <t>All four</t>
  </si>
  <si>
    <t>Split evenly: executive summary, interpretation, Q&amp;A prep, formatting</t>
  </si>
  <si>
    <t>TOTAL</t>
  </si>
  <si>
    <t>Contribution by Team Member</t>
  </si>
  <si>
    <t>Member</t>
  </si>
  <si>
    <t>Primary Responsibilities</t>
  </si>
  <si>
    <t>Overall Share</t>
  </si>
  <si>
    <t>Sample construction, earnings surprise, master regression</t>
  </si>
  <si>
    <t>10-K text extraction and QA</t>
  </si>
  <si>
    <t>CRSP returns, event-study abnormal returns/CAAR</t>
  </si>
  <si>
    <t>Sentiment scoring, visualization</t>
  </si>
  <si>
    <t>Total</t>
  </si>
  <si>
    <t>Generative AI Use Disclosure</t>
  </si>
  <si>
    <t>Statement of Use</t>
  </si>
  <si>
    <t>Activity</t>
  </si>
  <si>
    <t>How AI was used</t>
  </si>
  <si>
    <t>Extent</t>
  </si>
  <si>
    <t>SAS code drafting and debugging</t>
  </si>
  <si>
    <t>Moderate</t>
  </si>
  <si>
    <t>Statistical interpretation</t>
  </si>
  <si>
    <t>Written drafting</t>
  </si>
  <si>
    <t>Formatting and structure</t>
  </si>
  <si>
    <t>Suggested slide deck outline, Excel workbook structure, and table layouts. Final structure decided by team.</t>
  </si>
  <si>
    <t>Light</t>
  </si>
  <si>
    <t>Data analysis and results</t>
  </si>
  <si>
    <t>NOT used. All numerical results (CARs, regression coefficients, p-values, charts) were produced by SAS running on actual CRSP, I/B/E/S, and EDGAR data. No figure in this project was generated or estimated by an AI tool.</t>
  </si>
  <si>
    <t>None</t>
  </si>
  <si>
    <t>Research design</t>
  </si>
  <si>
    <t>NOT used. Research question, hypotheses, sample selection, and variable definitions were decided by the team based on the course material and Loughran &amp; McDonald (2011).</t>
  </si>
  <si>
    <t>Tools Used</t>
  </si>
  <si>
    <t>Merged Analysis Dataset (N = 15)</t>
  </si>
  <si>
    <t>One row per fiscal year. CAR columns from market-model event study; sentiment from Loughran-McDonald; surprise from I/B/E/S consensus.</t>
  </si>
  <si>
    <t>FY</t>
  </si>
  <si>
    <t>Filing Date</t>
  </si>
  <si>
    <t>CAR[0,+3]</t>
  </si>
  <si>
    <t>Neg %</t>
  </si>
  <si>
    <t>Pos %</t>
  </si>
  <si>
    <t>Unc %</t>
  </si>
  <si>
    <t>Net Tone</t>
  </si>
  <si>
    <t>Surprise %</t>
  </si>
  <si>
    <t>SUE</t>
  </si>
  <si>
    <t># Analysts</t>
  </si>
  <si>
    <t>2010-10-27</t>
  </si>
  <si>
    <t>2011-10-26</t>
  </si>
  <si>
    <t>2012-10-31</t>
  </si>
  <si>
    <t>2013-10-30</t>
  </si>
  <si>
    <t>2014-10-27</t>
  </si>
  <si>
    <t>2015-10-28</t>
  </si>
  <si>
    <t>2016-10-26</t>
  </si>
  <si>
    <t>2017-11-03</t>
  </si>
  <si>
    <t>2018-11-05</t>
  </si>
  <si>
    <t>2019-10-31</t>
  </si>
  <si>
    <t>2020-10-30</t>
  </si>
  <si>
    <t>2021-10-29</t>
  </si>
  <si>
    <t>2022-10-28</t>
  </si>
  <si>
    <t>2023-11-03</t>
  </si>
  <si>
    <t>2024-11-01</t>
  </si>
  <si>
    <t>Summary</t>
  </si>
  <si>
    <t>Mean</t>
  </si>
  <si>
    <t>Std Dev</t>
  </si>
  <si>
    <t>Min</t>
  </si>
  <si>
    <t>Max</t>
  </si>
  <si>
    <t>Source: 10-K filings from SEC EDGAR (CIK 320193). Returns from CRSP (PERMNO 14593). EPS consensus/actual from I/B/E/S. Sentiment dictionary: Loughran &amp; McDonald (2020 release).</t>
  </si>
  <si>
    <t>Regression Results: Sentiment &amp; Surprise → CAR</t>
  </si>
  <si>
    <t>Dependent variable varies by column. N = 15 for all specifications. Main regression (Spec 1) explains CAR[0,+3] with negative sentiment and earnings surprise.</t>
  </si>
  <si>
    <t>Variable</t>
  </si>
  <si>
    <t>(1) Main
CAR[0,+3]</t>
  </si>
  <si>
    <t>(2) Net Tone
CAR[0,+3]</t>
  </si>
  <si>
    <t>(3) Uncertainty
CAR[0,+3]</t>
  </si>
  <si>
    <t>(4) Short win.
CAR[0,+1]</t>
  </si>
  <si>
    <t>(5) Post-drift
CAR[+1,+10]</t>
  </si>
  <si>
    <t>Intercept</t>
  </si>
  <si>
    <t xml:space="preserve">  (Std. Error)</t>
  </si>
  <si>
    <t xml:space="preserve">  p-value</t>
  </si>
  <si>
    <t>Negative %</t>
  </si>
  <si>
    <t>Uncertainty %</t>
  </si>
  <si>
    <t>Model Statistics</t>
  </si>
  <si>
    <t>R-squared</t>
  </si>
  <si>
    <t>Adj. R-squared</t>
  </si>
  <si>
    <t>F-statistic</t>
  </si>
  <si>
    <t>Prob &gt; F</t>
  </si>
  <si>
    <t>Root MSE</t>
  </si>
  <si>
    <t>Observations</t>
  </si>
  <si>
    <t>Notes</t>
  </si>
  <si>
    <t>• Coefficients in bold p-value cells: statistically significant. Red = p&lt;0.05, amber = p&lt;0.10.</t>
  </si>
  <si>
    <t>• Main finding: in Spec 5 (CAR[+1,+10]), earnings surprise coefficient is 1.734 with p = 0.042 (significant at 5%).</t>
  </si>
  <si>
    <t>• Sentiment measures (neg, net tone, uncertainty) are insignificant in every specification tested.</t>
  </si>
  <si>
    <t>• N = 15 is small; confidence intervals are wide. Null results on sentiment should not be interpreted as evidence of zero effect.</t>
  </si>
  <si>
    <t>• Negative adjusted R² values in Specs 1–4 indicate the models explain less variation than the mean alone — typical in small samples with weak predictors.</t>
  </si>
  <si>
    <t>References &amp; Data Sources</t>
  </si>
  <si>
    <t>Academic Literature</t>
  </si>
  <si>
    <t>Loughran &amp; McDonald (2011)</t>
  </si>
  <si>
    <t>Loughran, T., &amp; McDonald, B. (2011). When is a liability not a liability? Textual analysis, dictionaries, and 10-Ks. The Journal of Finance, 66(1), 35-65.</t>
  </si>
  <si>
    <t>Loughran &amp; McDonald (2016)</t>
  </si>
  <si>
    <t>Loughran, T., &amp; McDonald, B. (2016). Textual analysis in accounting and finance: A survey. Journal of Accounting Research, 54(4), 1187-1230.</t>
  </si>
  <si>
    <t>MacKinlay (1997)</t>
  </si>
  <si>
    <t>MacKinlay, A. C. (1997). Event studies in economics and finance. Journal of Economic Literature, 35(1), 13-39.</t>
  </si>
  <si>
    <t>Fama, Fisher, Jensen &amp; Roll (1969)</t>
  </si>
  <si>
    <t>Fama, E. F., Fisher, L., Jensen, M. C., &amp; Roll, R. (1969). The adjustment of stock prices to new information. International Economic Review, 10(1), 1-21.</t>
  </si>
  <si>
    <t>Bernard &amp; Thomas (1989)</t>
  </si>
  <si>
    <t>Bernard, V. L., &amp; Thomas, J. K. (1989). Post-earnings-announcement drift: Delayed price response or risk premium? Journal of Accounting Research, 27, 1-36.</t>
  </si>
  <si>
    <t>Tetlock (2007)</t>
  </si>
  <si>
    <t>Tetlock, P. C. (2007). Giving content to investor sentiment: The role of media in the stock market. The Journal of Finance, 62(3), 1139-1168.</t>
  </si>
  <si>
    <t>Data Sources</t>
  </si>
  <si>
    <t>SEC EDGAR</t>
  </si>
  <si>
    <t>U.S. Securities and Exchange Commission, EDGAR full-text search for Apple Inc. (CIK 0000320193) 10-K filings. https://www.sec.gov/edgar</t>
  </si>
  <si>
    <t>CRSP</t>
  </si>
  <si>
    <t>Center for Research in Security Prices, daily stock file. Accessed via WRDS. AAPL PERMNO = 14593.</t>
  </si>
  <si>
    <t>I/B/E/S</t>
  </si>
  <si>
    <t>Institutional Brokers' Estimate System, detail history file for analyst EPS estimates. Accessed via WRDS.</t>
  </si>
  <si>
    <t>Loughran-McDonald Master Dictionary</t>
  </si>
  <si>
    <t>2020 release, https://sraf.nd.edu/loughranmcdonald-master-dictionary/</t>
  </si>
  <si>
    <t>Compustat</t>
  </si>
  <si>
    <t>For fiscal period end dates and reference data. Accessed via WRDS.</t>
  </si>
  <si>
    <t>Software &amp; Tools</t>
  </si>
  <si>
    <t>SAS 9.4 on WRDS Cloud</t>
  </si>
  <si>
    <t>Primary analysis environment (PROC SQL, PROC REG, PROC MEANS, SGPLOT).</t>
  </si>
  <si>
    <t>WRDS</t>
  </si>
  <si>
    <t>Wharton Research Data Services — cloud access to CRSP, I/B/E/S, Compustat.</t>
  </si>
  <si>
    <t>Microsoft Excel</t>
  </si>
  <si>
    <t>Final deliverable formatting and summary tables.</t>
  </si>
  <si>
    <t>• ChatGPT — outline draft, explanation, debugging</t>
  </si>
  <si>
    <t>We used generative AI tools to assist with drafting explanations, debugging SAS code, and structuring. All analytical decisions, data-cleaning choices, statistical interpretations, and final conclusions were made by the team. All AI-generated text was reviewed, edited, and verified against the underlying data before inclusion. No AI tool was used to fabricate, estimate, or invent numerical results.</t>
  </si>
  <si>
    <t>Drafted first-pass language for the executive summary, methodology section, and slide bullet points, AI was mainly used to clean the language and grammar. We rewrote substantively and cut hallucinated claims.</t>
  </si>
  <si>
    <t>Helped explain what Loughran-McDonald net tone measures, we further verified claims against the textbook and the Loughran-McDonald (2011) paper.</t>
  </si>
  <si>
    <t>Generated starter templates for PROC SQL joins, PROC REG syntax, and event-study date arithmetic. Debugged error messages, but all code was reviewed, run on real data, and modified by the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</si>
</sst>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%;\(0.00%\);\-"/>
    <numFmt numFmtId="166" formatCode="0.000"/>
    <numFmt numFmtId="167" formatCode="0.0000"/>
  </numFmts>
  <fonts count="1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1F4E78"/>
      <name val="Arial"/>
      <family val="2"/>
    </font>
    <font>
      <b/>
      <sz val="18"/>
      <color rgb="FFFFFFFF"/>
      <name val="Arial"/>
      <family val="2"/>
    </font>
    <font>
      <b/>
      <sz val="11"/>
      <color rgb="FF1F4E78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2"/>
      <color rgb="FF1F4E78"/>
      <name val="Arial"/>
      <family val="2"/>
    </font>
    <font>
      <sz val="10"/>
      <color rgb="FFBF8F00"/>
      <name val="Arial"/>
      <family val="2"/>
    </font>
    <font>
      <sz val="10"/>
      <color rgb="FF538135"/>
      <name val="Arial"/>
      <family val="2"/>
    </font>
    <font>
      <b/>
      <sz val="10"/>
      <color rgb="FFC00000"/>
      <name val="Arial"/>
      <family val="2"/>
    </font>
    <font>
      <i/>
      <sz val="9"/>
      <color rgb="FF595959"/>
      <name val="Arial"/>
      <family val="2"/>
    </font>
    <font>
      <b/>
      <i/>
      <sz val="9"/>
      <color rgb="FFBF8F00"/>
      <name val="Arial"/>
      <family val="2"/>
    </font>
    <font>
      <b/>
      <i/>
      <sz val="9"/>
      <color rgb="FFC00000"/>
      <name val="Arial"/>
      <family val="2"/>
    </font>
    <font>
      <i/>
      <sz val="9"/>
      <color rgb="FF404040"/>
      <name val="Arial"/>
      <family val="2"/>
    </font>
    <font>
      <sz val="11"/>
      <color theme="1"/>
      <name val="Arial"/>
      <family val="2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/>
    <xf numFmtId="165" fontId="1" fillId="3" borderId="1" xfId="0" applyNumberFormat="1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167" fontId="13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 indent="1"/>
    </xf>
    <xf numFmtId="9" fontId="1" fillId="0" borderId="2" xfId="0" applyNumberFormat="1" applyFont="1" applyBorder="1" applyAlignment="1">
      <alignment horizontal="center" vertical="center" wrapText="1"/>
    </xf>
    <xf numFmtId="9" fontId="2" fillId="3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/>
    <xf numFmtId="0" fontId="5" fillId="3" borderId="0" xfId="0" applyFont="1" applyFill="1"/>
    <xf numFmtId="0" fontId="12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/>
    <xf numFmtId="0" fontId="1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538135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zoomScaleNormal="100" workbookViewId="0">
      <selection activeCell="B31" sqref="B31"/>
    </sheetView>
  </sheetViews>
  <sheetFormatPr baseColWidth="10" defaultColWidth="8.6640625" defaultRowHeight="15" x14ac:dyDescent="0.2"/>
  <cols>
    <col min="1" max="1" width="21.5" customWidth="1"/>
    <col min="2" max="2" width="22" customWidth="1"/>
    <col min="3" max="3" width="95" customWidth="1"/>
  </cols>
  <sheetData>
    <row r="1" spans="1:3" x14ac:dyDescent="0.2">
      <c r="A1" s="4"/>
      <c r="B1" s="4"/>
      <c r="C1" s="4"/>
    </row>
    <row r="2" spans="1:3" ht="27.75" customHeight="1" x14ac:dyDescent="0.2">
      <c r="A2" s="45" t="s">
        <v>0</v>
      </c>
      <c r="B2" s="45"/>
      <c r="C2" s="45"/>
    </row>
    <row r="3" spans="1:3" x14ac:dyDescent="0.2">
      <c r="A3" s="4"/>
      <c r="B3" s="4"/>
      <c r="C3" s="4"/>
    </row>
    <row r="4" spans="1:3" ht="19.5" customHeight="1" x14ac:dyDescent="0.2">
      <c r="A4" s="43" t="s">
        <v>1</v>
      </c>
      <c r="B4" s="43"/>
      <c r="C4" s="43"/>
    </row>
    <row r="5" spans="1:3" ht="75" customHeight="1" x14ac:dyDescent="0.2">
      <c r="A5" s="4"/>
      <c r="B5" s="44" t="s">
        <v>2</v>
      </c>
      <c r="C5" s="44"/>
    </row>
    <row r="6" spans="1:3" x14ac:dyDescent="0.2">
      <c r="A6" s="4"/>
      <c r="B6" s="4"/>
      <c r="C6" s="4"/>
    </row>
    <row r="7" spans="1:3" ht="19.5" customHeight="1" x14ac:dyDescent="0.2">
      <c r="A7" s="43" t="s">
        <v>3</v>
      </c>
      <c r="B7" s="43"/>
      <c r="C7" s="43"/>
    </row>
    <row r="8" spans="1:3" ht="31.5" customHeight="1" x14ac:dyDescent="0.2">
      <c r="A8" s="4"/>
      <c r="B8" s="5" t="s">
        <v>4</v>
      </c>
      <c r="C8" s="3" t="s">
        <v>5</v>
      </c>
    </row>
    <row r="9" spans="1:3" ht="31.5" customHeight="1" x14ac:dyDescent="0.2">
      <c r="A9" s="4"/>
      <c r="B9" s="5" t="s">
        <v>6</v>
      </c>
      <c r="C9" s="3" t="s">
        <v>7</v>
      </c>
    </row>
    <row r="10" spans="1:3" ht="31.5" customHeight="1" x14ac:dyDescent="0.2">
      <c r="A10" s="4"/>
      <c r="B10" s="5" t="s">
        <v>8</v>
      </c>
      <c r="C10" s="3" t="s">
        <v>9</v>
      </c>
    </row>
    <row r="11" spans="1:3" ht="31.5" customHeight="1" x14ac:dyDescent="0.2">
      <c r="A11" s="4"/>
      <c r="B11" s="5" t="s">
        <v>10</v>
      </c>
      <c r="C11" s="3" t="s">
        <v>11</v>
      </c>
    </row>
    <row r="12" spans="1:3" x14ac:dyDescent="0.2">
      <c r="A12" s="4"/>
      <c r="B12" s="4"/>
      <c r="C12" s="4"/>
    </row>
    <row r="13" spans="1:3" ht="19.5" customHeight="1" x14ac:dyDescent="0.2">
      <c r="A13" s="43" t="s">
        <v>12</v>
      </c>
      <c r="B13" s="43"/>
      <c r="C13" s="43"/>
    </row>
    <row r="14" spans="1:3" ht="39.75" customHeight="1" x14ac:dyDescent="0.2">
      <c r="A14" s="4"/>
      <c r="B14" s="5" t="s">
        <v>13</v>
      </c>
      <c r="C14" s="3" t="s">
        <v>14</v>
      </c>
    </row>
    <row r="15" spans="1:3" ht="39.75" customHeight="1" x14ac:dyDescent="0.2">
      <c r="A15" s="4"/>
      <c r="B15" s="5" t="s">
        <v>15</v>
      </c>
      <c r="C15" s="3" t="s">
        <v>16</v>
      </c>
    </row>
    <row r="16" spans="1:3" ht="39.75" customHeight="1" x14ac:dyDescent="0.2">
      <c r="A16" s="4"/>
      <c r="B16" s="5" t="s">
        <v>17</v>
      </c>
      <c r="C16" s="3" t="s">
        <v>18</v>
      </c>
    </row>
    <row r="17" spans="1:3" ht="39.75" customHeight="1" x14ac:dyDescent="0.2">
      <c r="A17" s="4"/>
      <c r="B17" s="5" t="s">
        <v>19</v>
      </c>
      <c r="C17" s="3" t="s">
        <v>20</v>
      </c>
    </row>
    <row r="18" spans="1:3" ht="39.75" customHeight="1" x14ac:dyDescent="0.2">
      <c r="A18" s="4"/>
      <c r="B18" s="5" t="s">
        <v>21</v>
      </c>
      <c r="C18" s="3" t="s">
        <v>22</v>
      </c>
    </row>
    <row r="19" spans="1:3" ht="39.75" customHeight="1" x14ac:dyDescent="0.2">
      <c r="A19" s="4"/>
      <c r="B19" s="5" t="s">
        <v>23</v>
      </c>
      <c r="C19" s="3" t="s">
        <v>24</v>
      </c>
    </row>
    <row r="20" spans="1:3" x14ac:dyDescent="0.2">
      <c r="A20" s="4"/>
      <c r="B20" s="4"/>
      <c r="C20" s="4"/>
    </row>
    <row r="21" spans="1:3" ht="19.5" customHeight="1" x14ac:dyDescent="0.2">
      <c r="A21" s="43" t="s">
        <v>25</v>
      </c>
      <c r="B21" s="43"/>
      <c r="C21" s="43"/>
    </row>
    <row r="22" spans="1:3" ht="54.75" customHeight="1" x14ac:dyDescent="0.2">
      <c r="A22" s="4"/>
      <c r="B22" s="5" t="s">
        <v>26</v>
      </c>
      <c r="C22" s="3" t="s">
        <v>27</v>
      </c>
    </row>
    <row r="23" spans="1:3" ht="54.75" customHeight="1" x14ac:dyDescent="0.2">
      <c r="A23" s="4"/>
      <c r="B23" s="5" t="s">
        <v>28</v>
      </c>
      <c r="C23" s="3" t="s">
        <v>29</v>
      </c>
    </row>
    <row r="24" spans="1:3" ht="54.75" customHeight="1" x14ac:dyDescent="0.2">
      <c r="A24" s="4"/>
      <c r="B24" s="5" t="s">
        <v>30</v>
      </c>
      <c r="C24" s="3" t="s">
        <v>31</v>
      </c>
    </row>
    <row r="25" spans="1:3" ht="54.75" customHeight="1" x14ac:dyDescent="0.2">
      <c r="A25" s="4"/>
      <c r="B25" s="5" t="s">
        <v>32</v>
      </c>
      <c r="C25" s="3" t="s">
        <v>33</v>
      </c>
    </row>
    <row r="26" spans="1:3" ht="54.75" customHeight="1" x14ac:dyDescent="0.2">
      <c r="A26" s="4"/>
      <c r="B26" s="5" t="s">
        <v>34</v>
      </c>
      <c r="C26" s="3" t="s">
        <v>35</v>
      </c>
    </row>
    <row r="27" spans="1:3" ht="54.75" customHeight="1" x14ac:dyDescent="0.2">
      <c r="A27" s="4"/>
      <c r="B27" s="5" t="s">
        <v>36</v>
      </c>
      <c r="C27" s="3" t="s">
        <v>37</v>
      </c>
    </row>
    <row r="28" spans="1:3" x14ac:dyDescent="0.2">
      <c r="A28" s="4"/>
      <c r="B28" s="4"/>
      <c r="C28" s="4"/>
    </row>
    <row r="29" spans="1:3" ht="19.5" customHeight="1" x14ac:dyDescent="0.2">
      <c r="A29" s="43" t="s">
        <v>38</v>
      </c>
      <c r="B29" s="43"/>
      <c r="C29" s="43"/>
    </row>
    <row r="30" spans="1:3" ht="109.5" customHeight="1" x14ac:dyDescent="0.2">
      <c r="A30" s="4"/>
      <c r="B30" s="44" t="s">
        <v>39</v>
      </c>
      <c r="C30" s="44"/>
    </row>
    <row r="31" spans="1:3" x14ac:dyDescent="0.2">
      <c r="A31" s="4"/>
      <c r="B31" s="4"/>
      <c r="C31" s="4"/>
    </row>
    <row r="32" spans="1:3" ht="19.5" customHeight="1" x14ac:dyDescent="0.2">
      <c r="A32" s="43" t="s">
        <v>40</v>
      </c>
      <c r="B32" s="43"/>
      <c r="C32" s="43"/>
    </row>
    <row r="33" spans="1:3" ht="30" customHeight="1" x14ac:dyDescent="0.2">
      <c r="A33" s="4"/>
      <c r="B33" s="44" t="s">
        <v>41</v>
      </c>
      <c r="C33" s="44"/>
    </row>
    <row r="34" spans="1:3" ht="30" customHeight="1" x14ac:dyDescent="0.2">
      <c r="A34" s="4"/>
      <c r="B34" s="44" t="s">
        <v>42</v>
      </c>
      <c r="C34" s="44"/>
    </row>
    <row r="35" spans="1:3" ht="30" customHeight="1" x14ac:dyDescent="0.2">
      <c r="A35" s="4"/>
      <c r="B35" s="44" t="s">
        <v>43</v>
      </c>
      <c r="C35" s="44"/>
    </row>
    <row r="36" spans="1:3" ht="30" customHeight="1" x14ac:dyDescent="0.2">
      <c r="A36" s="4"/>
      <c r="B36" s="44" t="s">
        <v>44</v>
      </c>
      <c r="C36" s="44"/>
    </row>
    <row r="37" spans="1:3" ht="30" customHeight="1" x14ac:dyDescent="0.2">
      <c r="A37" s="4"/>
      <c r="B37" s="44" t="s">
        <v>45</v>
      </c>
      <c r="C37" s="44"/>
    </row>
  </sheetData>
  <mergeCells count="14">
    <mergeCell ref="B33:C33"/>
    <mergeCell ref="B34:C34"/>
    <mergeCell ref="B35:C35"/>
    <mergeCell ref="B36:C36"/>
    <mergeCell ref="B37:C37"/>
    <mergeCell ref="A21:C21"/>
    <mergeCell ref="A29:C29"/>
    <mergeCell ref="B30:C30"/>
    <mergeCell ref="A32:C32"/>
    <mergeCell ref="A2:C2"/>
    <mergeCell ref="A4:C4"/>
    <mergeCell ref="B5:C5"/>
    <mergeCell ref="A7:C7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opLeftCell="A5" zoomScaleNormal="100" workbookViewId="0">
      <selection activeCell="E9" sqref="E9"/>
    </sheetView>
  </sheetViews>
  <sheetFormatPr baseColWidth="10" defaultColWidth="8.6640625" defaultRowHeight="15" x14ac:dyDescent="0.2"/>
  <cols>
    <col min="1" max="1" width="21.5" customWidth="1"/>
    <col min="2" max="2" width="32.33203125" customWidth="1"/>
    <col min="3" max="3" width="32" customWidth="1"/>
    <col min="4" max="4" width="30.6640625" customWidth="1"/>
    <col min="5" max="5" width="40" customWidth="1"/>
  </cols>
  <sheetData>
    <row r="1" spans="1:5" x14ac:dyDescent="0.2">
      <c r="A1" s="4"/>
      <c r="B1" s="4"/>
      <c r="C1" s="4"/>
      <c r="D1" s="4"/>
      <c r="E1" s="4"/>
    </row>
    <row r="2" spans="1:5" ht="27.75" customHeight="1" x14ac:dyDescent="0.2">
      <c r="A2" s="45" t="s">
        <v>46</v>
      </c>
      <c r="B2" s="45"/>
      <c r="C2" s="45"/>
      <c r="D2" s="45"/>
      <c r="E2" s="45"/>
    </row>
    <row r="3" spans="1:5" x14ac:dyDescent="0.2">
      <c r="A3" s="4"/>
      <c r="B3" s="4"/>
      <c r="C3" s="4"/>
      <c r="D3" s="4"/>
      <c r="E3" s="4"/>
    </row>
    <row r="4" spans="1:5" x14ac:dyDescent="0.2">
      <c r="A4" s="4"/>
      <c r="B4" s="4"/>
      <c r="C4" s="4"/>
      <c r="D4" s="4"/>
      <c r="E4" s="4"/>
    </row>
    <row r="5" spans="1:5" ht="21.75" customHeight="1" x14ac:dyDescent="0.2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</row>
    <row r="6" spans="1:5" ht="54" customHeight="1" x14ac:dyDescent="0.2">
      <c r="A6" s="6" t="s">
        <v>52</v>
      </c>
      <c r="B6" s="7" t="s">
        <v>53</v>
      </c>
      <c r="C6" s="6" t="s">
        <v>54</v>
      </c>
      <c r="D6" s="8" t="s">
        <v>55</v>
      </c>
      <c r="E6" s="9">
        <v>0.1</v>
      </c>
    </row>
    <row r="7" spans="1:5" ht="33.75" customHeight="1" x14ac:dyDescent="0.2">
      <c r="A7" s="10" t="s">
        <v>56</v>
      </c>
      <c r="B7" s="11" t="s">
        <v>57</v>
      </c>
      <c r="C7" s="10" t="s">
        <v>58</v>
      </c>
      <c r="D7" s="12" t="s">
        <v>59</v>
      </c>
      <c r="E7" s="13">
        <v>0.15</v>
      </c>
    </row>
    <row r="8" spans="1:5" ht="33.75" customHeight="1" x14ac:dyDescent="0.2">
      <c r="A8" s="6" t="s">
        <v>60</v>
      </c>
      <c r="B8" s="7" t="s">
        <v>61</v>
      </c>
      <c r="C8" s="6" t="s">
        <v>58</v>
      </c>
      <c r="D8" s="8" t="s">
        <v>62</v>
      </c>
      <c r="E8" s="9">
        <v>0.05</v>
      </c>
    </row>
    <row r="9" spans="1:5" ht="33.75" customHeight="1" x14ac:dyDescent="0.2">
      <c r="A9" s="10" t="s">
        <v>63</v>
      </c>
      <c r="B9" s="11" t="s">
        <v>64</v>
      </c>
      <c r="C9" s="10" t="s">
        <v>65</v>
      </c>
      <c r="D9" s="12" t="s">
        <v>66</v>
      </c>
      <c r="E9" s="13">
        <v>0.15</v>
      </c>
    </row>
    <row r="10" spans="1:5" ht="33.75" customHeight="1" x14ac:dyDescent="0.2">
      <c r="A10" s="6" t="s">
        <v>67</v>
      </c>
      <c r="B10" s="7" t="s">
        <v>68</v>
      </c>
      <c r="C10" s="6" t="s">
        <v>69</v>
      </c>
      <c r="D10" s="8" t="s">
        <v>70</v>
      </c>
      <c r="E10" s="9">
        <v>0.1</v>
      </c>
    </row>
    <row r="11" spans="1:5" ht="33.75" customHeight="1" x14ac:dyDescent="0.2">
      <c r="A11" s="10" t="s">
        <v>71</v>
      </c>
      <c r="B11" s="11" t="s">
        <v>72</v>
      </c>
      <c r="C11" s="10" t="s">
        <v>69</v>
      </c>
      <c r="D11" s="12" t="s">
        <v>73</v>
      </c>
      <c r="E11" s="13">
        <v>0.15</v>
      </c>
    </row>
    <row r="12" spans="1:5" ht="33.75" customHeight="1" x14ac:dyDescent="0.2">
      <c r="A12" s="6" t="s">
        <v>74</v>
      </c>
      <c r="B12" s="7" t="s">
        <v>75</v>
      </c>
      <c r="C12" s="6" t="s">
        <v>54</v>
      </c>
      <c r="D12" s="8" t="s">
        <v>76</v>
      </c>
      <c r="E12" s="9">
        <v>0.1</v>
      </c>
    </row>
    <row r="13" spans="1:5" ht="33.75" customHeight="1" x14ac:dyDescent="0.2">
      <c r="A13" s="10" t="s">
        <v>77</v>
      </c>
      <c r="B13" s="11" t="s">
        <v>78</v>
      </c>
      <c r="C13" s="10" t="s">
        <v>65</v>
      </c>
      <c r="D13" s="12" t="s">
        <v>79</v>
      </c>
      <c r="E13" s="13">
        <v>0.05</v>
      </c>
    </row>
    <row r="14" spans="1:5" ht="33.75" customHeight="1" x14ac:dyDescent="0.2">
      <c r="A14" s="6" t="s">
        <v>80</v>
      </c>
      <c r="B14" s="7" t="s">
        <v>81</v>
      </c>
      <c r="C14" s="6" t="s">
        <v>54</v>
      </c>
      <c r="D14" s="8" t="s">
        <v>82</v>
      </c>
      <c r="E14" s="9">
        <v>0.1</v>
      </c>
    </row>
    <row r="15" spans="1:5" ht="33.75" customHeight="1" x14ac:dyDescent="0.2">
      <c r="A15" s="10" t="s">
        <v>83</v>
      </c>
      <c r="B15" s="11" t="s">
        <v>84</v>
      </c>
      <c r="C15" s="10" t="s">
        <v>85</v>
      </c>
      <c r="D15" s="12" t="s">
        <v>86</v>
      </c>
      <c r="E15" s="13">
        <v>0.05</v>
      </c>
    </row>
    <row r="16" spans="1:5" x14ac:dyDescent="0.2">
      <c r="A16" s="14"/>
      <c r="B16" s="15" t="s">
        <v>87</v>
      </c>
      <c r="C16" s="14"/>
      <c r="D16" s="14"/>
      <c r="E16" s="16">
        <f>SUM(E6:E15)</f>
        <v>1</v>
      </c>
    </row>
    <row r="17" spans="1:5" x14ac:dyDescent="0.2">
      <c r="A17" s="4"/>
      <c r="B17" s="4"/>
      <c r="C17" s="4"/>
      <c r="D17" s="4"/>
      <c r="E17" s="4"/>
    </row>
    <row r="18" spans="1:5" x14ac:dyDescent="0.2">
      <c r="A18" s="4"/>
      <c r="B18" s="4"/>
      <c r="C18" s="4"/>
      <c r="D18" s="4"/>
      <c r="E18" s="4"/>
    </row>
    <row r="19" spans="1:5" ht="16" x14ac:dyDescent="0.2">
      <c r="A19" s="48" t="s">
        <v>88</v>
      </c>
      <c r="B19" s="48"/>
      <c r="C19" s="48"/>
      <c r="D19" s="48"/>
      <c r="E19" s="48"/>
    </row>
    <row r="20" spans="1:5" x14ac:dyDescent="0.2">
      <c r="A20" s="4"/>
      <c r="B20" s="4"/>
      <c r="C20" s="4"/>
      <c r="D20" s="4"/>
      <c r="E20" s="4"/>
    </row>
    <row r="21" spans="1:5" ht="23.75" customHeight="1" x14ac:dyDescent="0.2">
      <c r="A21" s="1" t="s">
        <v>89</v>
      </c>
      <c r="B21" s="1" t="s">
        <v>90</v>
      </c>
      <c r="C21" s="49" t="s">
        <v>91</v>
      </c>
      <c r="D21" s="49"/>
      <c r="E21" s="49"/>
    </row>
    <row r="22" spans="1:5" ht="45" customHeight="1" x14ac:dyDescent="0.2">
      <c r="A22" s="17" t="s">
        <v>54</v>
      </c>
      <c r="B22" s="7" t="s">
        <v>92</v>
      </c>
      <c r="C22" s="46">
        <v>0.25</v>
      </c>
      <c r="D22" s="46"/>
      <c r="E22" s="46"/>
    </row>
    <row r="23" spans="1:5" ht="24" customHeight="1" x14ac:dyDescent="0.2">
      <c r="A23" s="17" t="s">
        <v>58</v>
      </c>
      <c r="B23" s="7" t="s">
        <v>93</v>
      </c>
      <c r="C23" s="46">
        <v>0.25</v>
      </c>
      <c r="D23" s="46"/>
      <c r="E23" s="46"/>
    </row>
    <row r="24" spans="1:5" ht="32" customHeight="1" x14ac:dyDescent="0.2">
      <c r="A24" s="17" t="s">
        <v>69</v>
      </c>
      <c r="B24" s="7" t="s">
        <v>94</v>
      </c>
      <c r="C24" s="46">
        <v>0.25</v>
      </c>
      <c r="D24" s="46"/>
      <c r="E24" s="46"/>
    </row>
    <row r="25" spans="1:5" ht="24" customHeight="1" x14ac:dyDescent="0.2">
      <c r="A25" s="17" t="s">
        <v>65</v>
      </c>
      <c r="B25" s="7" t="s">
        <v>95</v>
      </c>
      <c r="C25" s="46">
        <v>0.25</v>
      </c>
      <c r="D25" s="46"/>
      <c r="E25" s="46"/>
    </row>
    <row r="26" spans="1:5" x14ac:dyDescent="0.2">
      <c r="A26" s="4"/>
      <c r="B26" s="15" t="s">
        <v>96</v>
      </c>
      <c r="C26" s="47">
        <f>SUM(C22:C25)</f>
        <v>1</v>
      </c>
      <c r="D26" s="47"/>
      <c r="E26" s="47"/>
    </row>
  </sheetData>
  <mergeCells count="8">
    <mergeCell ref="C23:E23"/>
    <mergeCell ref="C24:E24"/>
    <mergeCell ref="C25:E25"/>
    <mergeCell ref="C26:E26"/>
    <mergeCell ref="A2:E2"/>
    <mergeCell ref="A19:E19"/>
    <mergeCell ref="C21:E21"/>
    <mergeCell ref="C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Normal="100" workbookViewId="0">
      <selection activeCell="A8" sqref="A8:C8"/>
    </sheetView>
  </sheetViews>
  <sheetFormatPr baseColWidth="10" defaultColWidth="8.6640625" defaultRowHeight="15" x14ac:dyDescent="0.2"/>
  <cols>
    <col min="1" max="1" width="47" customWidth="1"/>
    <col min="2" max="2" width="26" customWidth="1"/>
    <col min="3" max="3" width="60" customWidth="1"/>
  </cols>
  <sheetData>
    <row r="1" spans="1:3" x14ac:dyDescent="0.2">
      <c r="A1" s="4"/>
      <c r="B1" s="4"/>
      <c r="C1" s="4"/>
    </row>
    <row r="2" spans="1:3" ht="27.75" customHeight="1" x14ac:dyDescent="0.2">
      <c r="A2" s="45" t="s">
        <v>97</v>
      </c>
      <c r="B2" s="45"/>
      <c r="C2" s="45"/>
    </row>
    <row r="3" spans="1:3" x14ac:dyDescent="0.2">
      <c r="A3" s="4"/>
      <c r="B3" s="4"/>
      <c r="C3" s="4"/>
    </row>
    <row r="4" spans="1:3" ht="16" x14ac:dyDescent="0.2">
      <c r="A4" s="48" t="s">
        <v>98</v>
      </c>
      <c r="B4" s="48"/>
      <c r="C4" s="48"/>
    </row>
    <row r="5" spans="1:3" ht="84.75" customHeight="1" x14ac:dyDescent="0.2">
      <c r="A5" s="50" t="s">
        <v>207</v>
      </c>
      <c r="B5" s="44"/>
      <c r="C5" s="44"/>
    </row>
    <row r="6" spans="1:3" x14ac:dyDescent="0.2">
      <c r="A6" s="4"/>
      <c r="B6" s="4"/>
      <c r="C6" s="4"/>
    </row>
    <row r="7" spans="1:3" x14ac:dyDescent="0.2">
      <c r="A7" s="4"/>
      <c r="B7" s="4"/>
      <c r="C7" s="4"/>
    </row>
    <row r="8" spans="1:3" ht="21.75" customHeight="1" x14ac:dyDescent="0.2">
      <c r="A8" s="58" t="s">
        <v>99</v>
      </c>
      <c r="B8" s="58" t="s">
        <v>100</v>
      </c>
      <c r="C8" s="58" t="s">
        <v>101</v>
      </c>
    </row>
    <row r="9" spans="1:3" ht="54.75" customHeight="1" x14ac:dyDescent="0.2">
      <c r="A9" s="18" t="s">
        <v>102</v>
      </c>
      <c r="B9" s="41" t="s">
        <v>210</v>
      </c>
      <c r="C9" s="19" t="s">
        <v>103</v>
      </c>
    </row>
    <row r="10" spans="1:3" ht="54.75" customHeight="1" x14ac:dyDescent="0.2">
      <c r="A10" s="20" t="s">
        <v>104</v>
      </c>
      <c r="B10" s="42" t="s">
        <v>209</v>
      </c>
      <c r="C10" s="21" t="s">
        <v>103</v>
      </c>
    </row>
    <row r="11" spans="1:3" ht="54.75" customHeight="1" x14ac:dyDescent="0.2">
      <c r="A11" s="18" t="s">
        <v>105</v>
      </c>
      <c r="B11" s="41" t="s">
        <v>208</v>
      </c>
      <c r="C11" s="19" t="s">
        <v>103</v>
      </c>
    </row>
    <row r="12" spans="1:3" ht="54.75" customHeight="1" x14ac:dyDescent="0.2">
      <c r="A12" s="20" t="s">
        <v>106</v>
      </c>
      <c r="B12" s="12" t="s">
        <v>107</v>
      </c>
      <c r="C12" s="22" t="s">
        <v>108</v>
      </c>
    </row>
    <row r="13" spans="1:3" ht="74" customHeight="1" x14ac:dyDescent="0.2">
      <c r="A13" s="18" t="s">
        <v>109</v>
      </c>
      <c r="B13" s="8" t="s">
        <v>110</v>
      </c>
      <c r="C13" s="23" t="s">
        <v>111</v>
      </c>
    </row>
    <row r="14" spans="1:3" ht="54.75" customHeight="1" x14ac:dyDescent="0.2">
      <c r="A14" s="20" t="s">
        <v>112</v>
      </c>
      <c r="B14" s="12" t="s">
        <v>113</v>
      </c>
      <c r="C14" s="24" t="s">
        <v>111</v>
      </c>
    </row>
    <row r="15" spans="1:3" x14ac:dyDescent="0.2">
      <c r="A15" s="4"/>
      <c r="B15" s="4"/>
      <c r="C15" s="4"/>
    </row>
    <row r="16" spans="1:3" x14ac:dyDescent="0.2">
      <c r="A16" s="4"/>
      <c r="B16" s="4"/>
      <c r="C16" s="4"/>
    </row>
    <row r="17" spans="1:3" ht="16" x14ac:dyDescent="0.2">
      <c r="A17" s="2" t="s">
        <v>114</v>
      </c>
      <c r="B17" s="4"/>
      <c r="C17" s="4"/>
    </row>
    <row r="18" spans="1:3" ht="15" customHeight="1" x14ac:dyDescent="0.2">
      <c r="A18" s="51" t="s">
        <v>206</v>
      </c>
      <c r="B18" s="52"/>
      <c r="C18" s="52"/>
    </row>
  </sheetData>
  <mergeCells count="4">
    <mergeCell ref="A2:C2"/>
    <mergeCell ref="A4:C4"/>
    <mergeCell ref="A5:C5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6" zoomScaleNormal="100" workbookViewId="0">
      <selection activeCell="M16" sqref="M16"/>
    </sheetView>
  </sheetViews>
  <sheetFormatPr baseColWidth="10" defaultColWidth="8.6640625" defaultRowHeight="15" x14ac:dyDescent="0.2"/>
  <cols>
    <col min="1" max="1" width="12.83203125" customWidth="1"/>
    <col min="2" max="2" width="8" customWidth="1"/>
    <col min="3" max="3" width="13" customWidth="1"/>
    <col min="4" max="4" width="14" customWidth="1"/>
    <col min="5" max="8" width="12" customWidth="1"/>
    <col min="9" max="9" width="13" customWidth="1"/>
    <col min="10" max="10" width="12" customWidth="1"/>
  </cols>
  <sheetData>
    <row r="1" spans="1:10" x14ac:dyDescent="0.2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27.75" customHeight="1" x14ac:dyDescent="0.2">
      <c r="A2" s="45" t="s">
        <v>115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x14ac:dyDescent="0.2">
      <c r="A3" s="53" t="s">
        <v>116</v>
      </c>
      <c r="B3" s="53"/>
      <c r="C3" s="53"/>
      <c r="D3" s="53"/>
      <c r="E3" s="53"/>
      <c r="F3" s="53"/>
      <c r="G3" s="53"/>
      <c r="H3" s="53"/>
      <c r="I3" s="53"/>
      <c r="J3" s="4"/>
    </row>
    <row r="4" spans="1:10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27.75" customHeight="1" x14ac:dyDescent="0.2">
      <c r="A5" s="1" t="s">
        <v>117</v>
      </c>
      <c r="B5" s="1" t="s">
        <v>118</v>
      </c>
      <c r="C5" s="1" t="s">
        <v>119</v>
      </c>
      <c r="D5" s="1" t="s">
        <v>120</v>
      </c>
      <c r="E5" s="1" t="s">
        <v>121</v>
      </c>
      <c r="F5" s="1" t="s">
        <v>122</v>
      </c>
      <c r="G5" s="1" t="s">
        <v>123</v>
      </c>
      <c r="H5" s="1" t="s">
        <v>124</v>
      </c>
      <c r="I5" s="1" t="s">
        <v>125</v>
      </c>
      <c r="J5" s="1" t="s">
        <v>126</v>
      </c>
    </row>
    <row r="6" spans="1:10" ht="30" x14ac:dyDescent="0.2">
      <c r="A6" s="25">
        <v>2010</v>
      </c>
      <c r="B6" s="6" t="s">
        <v>127</v>
      </c>
      <c r="C6" s="26">
        <v>-1.7440000000000001E-2</v>
      </c>
      <c r="D6" s="27">
        <v>1.7010000000000001</v>
      </c>
      <c r="E6" s="27">
        <v>0.72299999999999998</v>
      </c>
      <c r="F6" s="27">
        <v>1.5840000000000001</v>
      </c>
      <c r="G6" s="27">
        <v>-0.97799999999999998</v>
      </c>
      <c r="H6" s="26">
        <v>4.0599999999999997E-2</v>
      </c>
      <c r="I6" s="27">
        <v>1.0549999999999999</v>
      </c>
      <c r="J6" s="25">
        <v>50</v>
      </c>
    </row>
    <row r="7" spans="1:10" ht="30" x14ac:dyDescent="0.2">
      <c r="A7" s="28">
        <v>2011</v>
      </c>
      <c r="B7" s="10" t="s">
        <v>128</v>
      </c>
      <c r="C7" s="29">
        <v>-8.7899999999999992E-3</v>
      </c>
      <c r="D7" s="30">
        <v>1.7350000000000001</v>
      </c>
      <c r="E7" s="30">
        <v>0.69199999999999995</v>
      </c>
      <c r="F7" s="30">
        <v>1.792</v>
      </c>
      <c r="G7" s="30">
        <v>-1.0429999999999999</v>
      </c>
      <c r="H7" s="29">
        <v>8.8000000000000005E-3</v>
      </c>
      <c r="I7" s="30">
        <v>0.215</v>
      </c>
      <c r="J7" s="28">
        <v>53</v>
      </c>
    </row>
    <row r="8" spans="1:10" ht="30" x14ac:dyDescent="0.2">
      <c r="A8" s="25">
        <v>2012</v>
      </c>
      <c r="B8" s="6" t="s">
        <v>129</v>
      </c>
      <c r="C8" s="26">
        <v>-3.9940000000000003E-2</v>
      </c>
      <c r="D8" s="27">
        <v>1.5980000000000001</v>
      </c>
      <c r="E8" s="27">
        <v>0.71</v>
      </c>
      <c r="F8" s="27">
        <v>1.744</v>
      </c>
      <c r="G8" s="27">
        <v>-0.88900000000000001</v>
      </c>
      <c r="H8" s="26">
        <v>-2.0300000000000001E-3</v>
      </c>
      <c r="I8" s="27">
        <v>-0.16</v>
      </c>
      <c r="J8" s="25">
        <v>55</v>
      </c>
    </row>
    <row r="9" spans="1:10" ht="30" x14ac:dyDescent="0.2">
      <c r="A9" s="28">
        <v>2013</v>
      </c>
      <c r="B9" s="10" t="s">
        <v>130</v>
      </c>
      <c r="C9" s="29">
        <v>1.7420000000000001E-2</v>
      </c>
      <c r="D9" s="30">
        <v>1.663</v>
      </c>
      <c r="E9" s="30">
        <v>0.65100000000000002</v>
      </c>
      <c r="F9" s="30">
        <v>1.71</v>
      </c>
      <c r="G9" s="30">
        <v>-1.0129999999999999</v>
      </c>
      <c r="H9" s="29">
        <v>1.4E-2</v>
      </c>
      <c r="I9" s="30">
        <v>1.96</v>
      </c>
      <c r="J9" s="28">
        <v>54</v>
      </c>
    </row>
    <row r="10" spans="1:10" ht="30" x14ac:dyDescent="0.2">
      <c r="A10" s="25">
        <v>2014</v>
      </c>
      <c r="B10" s="6" t="s">
        <v>131</v>
      </c>
      <c r="C10" s="26">
        <v>-1.8699999999999999E-3</v>
      </c>
      <c r="D10" s="27">
        <v>1.5980000000000001</v>
      </c>
      <c r="E10" s="27">
        <v>0.66600000000000004</v>
      </c>
      <c r="F10" s="27">
        <v>1.6539999999999999</v>
      </c>
      <c r="G10" s="27">
        <v>-0.93200000000000005</v>
      </c>
      <c r="H10" s="26">
        <v>2.06E-2</v>
      </c>
      <c r="I10" s="27">
        <v>3.25</v>
      </c>
      <c r="J10" s="25">
        <v>48</v>
      </c>
    </row>
    <row r="11" spans="1:10" ht="30" x14ac:dyDescent="0.2">
      <c r="A11" s="28">
        <v>2015</v>
      </c>
      <c r="B11" s="10" t="s">
        <v>132</v>
      </c>
      <c r="C11" s="29">
        <v>3.5639999999999998E-2</v>
      </c>
      <c r="D11" s="30">
        <v>1.653</v>
      </c>
      <c r="E11" s="30">
        <v>0.70599999999999996</v>
      </c>
      <c r="F11" s="30">
        <v>1.728</v>
      </c>
      <c r="G11" s="30">
        <v>-0.94599999999999995</v>
      </c>
      <c r="H11" s="29">
        <v>1.0999999999999999E-2</v>
      </c>
      <c r="I11" s="30">
        <v>2.5</v>
      </c>
      <c r="J11" s="28">
        <v>50</v>
      </c>
    </row>
    <row r="12" spans="1:10" ht="30" x14ac:dyDescent="0.2">
      <c r="A12" s="25">
        <v>2016</v>
      </c>
      <c r="B12" s="6" t="s">
        <v>133</v>
      </c>
      <c r="C12" s="26">
        <v>-4.0289999999999999E-2</v>
      </c>
      <c r="D12" s="27">
        <v>1.6140000000000001</v>
      </c>
      <c r="E12" s="27">
        <v>0.69499999999999995</v>
      </c>
      <c r="F12" s="27">
        <v>1.7629999999999999</v>
      </c>
      <c r="G12" s="27">
        <v>-0.92</v>
      </c>
      <c r="H12" s="26">
        <v>3.5999999999999999E-3</v>
      </c>
      <c r="I12" s="27">
        <v>0.75</v>
      </c>
      <c r="J12" s="25">
        <v>42</v>
      </c>
    </row>
    <row r="13" spans="1:10" ht="30" x14ac:dyDescent="0.2">
      <c r="A13" s="28">
        <v>2017</v>
      </c>
      <c r="B13" s="10" t="s">
        <v>134</v>
      </c>
      <c r="C13" s="29">
        <v>4.4330000000000001E-2</v>
      </c>
      <c r="D13" s="30">
        <v>1.621</v>
      </c>
      <c r="E13" s="30">
        <v>0.69899999999999995</v>
      </c>
      <c r="F13" s="30">
        <v>1.788</v>
      </c>
      <c r="G13" s="30">
        <v>-0.92200000000000004</v>
      </c>
      <c r="H13" s="29">
        <v>2.3300000000000001E-2</v>
      </c>
      <c r="I13" s="30">
        <v>5.25</v>
      </c>
      <c r="J13" s="28">
        <v>33</v>
      </c>
    </row>
    <row r="14" spans="1:10" ht="30" x14ac:dyDescent="0.2">
      <c r="A14" s="25">
        <v>2018</v>
      </c>
      <c r="B14" s="6" t="s">
        <v>135</v>
      </c>
      <c r="C14" s="26">
        <v>-2.8809999999999999E-2</v>
      </c>
      <c r="D14" s="27">
        <v>1.7450000000000001</v>
      </c>
      <c r="E14" s="27">
        <v>0.71899999999999997</v>
      </c>
      <c r="F14" s="27">
        <v>1.7729999999999999</v>
      </c>
      <c r="G14" s="27">
        <v>-1.026</v>
      </c>
      <c r="H14" s="26">
        <v>1.2800000000000001E-2</v>
      </c>
      <c r="I14" s="27">
        <v>0.93799999999999994</v>
      </c>
      <c r="J14" s="25">
        <v>41</v>
      </c>
    </row>
    <row r="15" spans="1:10" ht="30" x14ac:dyDescent="0.2">
      <c r="A15" s="28">
        <v>2019</v>
      </c>
      <c r="B15" s="10" t="s">
        <v>136</v>
      </c>
      <c r="C15" s="29">
        <v>3.6470000000000002E-2</v>
      </c>
      <c r="D15" s="30">
        <v>1.887</v>
      </c>
      <c r="E15" s="30">
        <v>0.61</v>
      </c>
      <c r="F15" s="30">
        <v>1.635</v>
      </c>
      <c r="G15" s="30">
        <v>-1.2769999999999999</v>
      </c>
      <c r="H15" s="29">
        <v>1.7999999999999999E-2</v>
      </c>
      <c r="I15" s="30">
        <v>2.625</v>
      </c>
      <c r="J15" s="28">
        <v>41</v>
      </c>
    </row>
    <row r="16" spans="1:10" ht="30" x14ac:dyDescent="0.2">
      <c r="A16" s="25">
        <v>2020</v>
      </c>
      <c r="B16" s="6" t="s">
        <v>137</v>
      </c>
      <c r="C16" s="26">
        <v>-5.5059999999999998E-2</v>
      </c>
      <c r="D16" s="27">
        <v>1.8759999999999999</v>
      </c>
      <c r="E16" s="27">
        <v>0.55800000000000005</v>
      </c>
      <c r="F16" s="27">
        <v>1.6</v>
      </c>
      <c r="G16" s="27">
        <v>-1.319</v>
      </c>
      <c r="H16" s="26">
        <v>1.23E-2</v>
      </c>
      <c r="I16" s="27">
        <v>0.57099999999999995</v>
      </c>
      <c r="J16" s="25">
        <v>37</v>
      </c>
    </row>
    <row r="17" spans="1:10" ht="30" x14ac:dyDescent="0.2">
      <c r="A17" s="28">
        <v>2021</v>
      </c>
      <c r="B17" s="10" t="s">
        <v>138</v>
      </c>
      <c r="C17" s="29">
        <v>-2.7859999999999999E-2</v>
      </c>
      <c r="D17" s="30">
        <v>2.1019999999999999</v>
      </c>
      <c r="E17" s="30">
        <v>0.61699999999999999</v>
      </c>
      <c r="F17" s="30">
        <v>1.5289999999999999</v>
      </c>
      <c r="G17" s="30">
        <v>-1.486</v>
      </c>
      <c r="H17" s="29">
        <v>1.8E-3</v>
      </c>
      <c r="I17" s="30">
        <v>0.125</v>
      </c>
      <c r="J17" s="28">
        <v>41</v>
      </c>
    </row>
    <row r="18" spans="1:10" ht="30" x14ac:dyDescent="0.2">
      <c r="A18" s="25">
        <v>2022</v>
      </c>
      <c r="B18" s="6" t="s">
        <v>139</v>
      </c>
      <c r="C18" s="26">
        <v>1.804E-2</v>
      </c>
      <c r="D18" s="27">
        <v>2.0950000000000002</v>
      </c>
      <c r="E18" s="27">
        <v>0.60199999999999998</v>
      </c>
      <c r="F18" s="27">
        <v>1.57</v>
      </c>
      <c r="G18" s="27">
        <v>-1.4930000000000001</v>
      </c>
      <c r="H18" s="26">
        <v>1.6000000000000001E-3</v>
      </c>
      <c r="I18" s="27">
        <v>0.14299999999999999</v>
      </c>
      <c r="J18" s="25">
        <v>39</v>
      </c>
    </row>
    <row r="19" spans="1:10" ht="30" x14ac:dyDescent="0.2">
      <c r="A19" s="28">
        <v>2023</v>
      </c>
      <c r="B19" s="10" t="s">
        <v>140</v>
      </c>
      <c r="C19" s="29">
        <v>1.7639999999999999E-2</v>
      </c>
      <c r="D19" s="30">
        <v>2.1829999999999998</v>
      </c>
      <c r="E19" s="30">
        <v>0.59399999999999997</v>
      </c>
      <c r="F19" s="30">
        <v>1.5720000000000001</v>
      </c>
      <c r="G19" s="30">
        <v>-1.59</v>
      </c>
      <c r="H19" s="29">
        <v>1.1599999999999999E-2</v>
      </c>
      <c r="I19" s="30">
        <v>1.4</v>
      </c>
      <c r="J19" s="28">
        <v>36</v>
      </c>
    </row>
    <row r="20" spans="1:10" ht="30" x14ac:dyDescent="0.2">
      <c r="A20" s="25">
        <v>2024</v>
      </c>
      <c r="B20" s="6" t="s">
        <v>141</v>
      </c>
      <c r="C20" s="26">
        <v>-5.9990000000000002E-2</v>
      </c>
      <c r="D20" s="27">
        <v>2.3250000000000002</v>
      </c>
      <c r="E20" s="27">
        <v>0.65100000000000002</v>
      </c>
      <c r="F20" s="27">
        <v>1.5509999999999999</v>
      </c>
      <c r="G20" s="27">
        <v>-1.673</v>
      </c>
      <c r="H20" s="26">
        <v>1.2E-2</v>
      </c>
      <c r="I20" s="27">
        <v>0.53300000000000003</v>
      </c>
      <c r="J20" s="25">
        <v>42</v>
      </c>
    </row>
    <row r="21" spans="1:10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">
      <c r="A23" s="54" t="s">
        <v>142</v>
      </c>
      <c r="B23" s="54"/>
      <c r="C23" s="54"/>
      <c r="D23" s="54"/>
      <c r="E23" s="54"/>
      <c r="F23" s="54"/>
      <c r="G23" s="54"/>
      <c r="H23" s="54"/>
      <c r="I23" s="54"/>
      <c r="J23" s="54"/>
    </row>
    <row r="24" spans="1:10" x14ac:dyDescent="0.2">
      <c r="A24" s="31" t="s">
        <v>143</v>
      </c>
      <c r="B24" s="14"/>
      <c r="C24" s="32">
        <f t="shared" ref="C24:J24" si="0">AVERAGE(C6:C20)</f>
        <v>-7.3673333333333325E-3</v>
      </c>
      <c r="D24" s="33">
        <f t="shared" si="0"/>
        <v>1.8264</v>
      </c>
      <c r="E24" s="33">
        <f t="shared" si="0"/>
        <v>0.6595333333333333</v>
      </c>
      <c r="F24" s="33">
        <f t="shared" si="0"/>
        <v>1.6661999999999999</v>
      </c>
      <c r="G24" s="33">
        <f t="shared" si="0"/>
        <v>-1.1671333333333334</v>
      </c>
      <c r="H24" s="32">
        <f t="shared" si="0"/>
        <v>1.2664666666666666E-2</v>
      </c>
      <c r="I24" s="33">
        <f t="shared" si="0"/>
        <v>1.4103333333333337</v>
      </c>
      <c r="J24" s="34">
        <f t="shared" si="0"/>
        <v>44.133333333333333</v>
      </c>
    </row>
    <row r="25" spans="1:10" x14ac:dyDescent="0.2">
      <c r="A25" s="31" t="s">
        <v>144</v>
      </c>
      <c r="B25" s="14"/>
      <c r="C25" s="32">
        <f t="shared" ref="C25:J25" si="1">STDEV(C6:C20)</f>
        <v>3.4362900149240413E-2</v>
      </c>
      <c r="D25" s="33">
        <f t="shared" si="1"/>
        <v>0.24040257902110848</v>
      </c>
      <c r="E25" s="33">
        <f t="shared" si="1"/>
        <v>5.2442984913777212E-2</v>
      </c>
      <c r="F25" s="33">
        <f t="shared" si="1"/>
        <v>9.4759997587891179E-2</v>
      </c>
      <c r="G25" s="33">
        <f t="shared" si="1"/>
        <v>0.27713891995239659</v>
      </c>
      <c r="H25" s="32">
        <f t="shared" si="1"/>
        <v>1.0504129029418224E-2</v>
      </c>
      <c r="I25" s="33">
        <f t="shared" si="1"/>
        <v>1.4761199460877472</v>
      </c>
      <c r="J25" s="34">
        <f t="shared" si="1"/>
        <v>6.9884258054368189</v>
      </c>
    </row>
    <row r="26" spans="1:10" x14ac:dyDescent="0.2">
      <c r="A26" s="31" t="s">
        <v>145</v>
      </c>
      <c r="B26" s="14"/>
      <c r="C26" s="32">
        <f t="shared" ref="C26:J26" si="2">MIN(C6:C20)</f>
        <v>-5.9990000000000002E-2</v>
      </c>
      <c r="D26" s="33">
        <f t="shared" si="2"/>
        <v>1.5980000000000001</v>
      </c>
      <c r="E26" s="33">
        <f t="shared" si="2"/>
        <v>0.55800000000000005</v>
      </c>
      <c r="F26" s="33">
        <f t="shared" si="2"/>
        <v>1.5289999999999999</v>
      </c>
      <c r="G26" s="33">
        <f t="shared" si="2"/>
        <v>-1.673</v>
      </c>
      <c r="H26" s="32">
        <f t="shared" si="2"/>
        <v>-2.0300000000000001E-3</v>
      </c>
      <c r="I26" s="33">
        <f t="shared" si="2"/>
        <v>-0.16</v>
      </c>
      <c r="J26" s="34">
        <f t="shared" si="2"/>
        <v>33</v>
      </c>
    </row>
    <row r="27" spans="1:10" x14ac:dyDescent="0.2">
      <c r="A27" s="31" t="s">
        <v>146</v>
      </c>
      <c r="B27" s="14"/>
      <c r="C27" s="32">
        <f t="shared" ref="C27:J27" si="3">MAX(C6:C20)</f>
        <v>4.4330000000000001E-2</v>
      </c>
      <c r="D27" s="33">
        <f t="shared" si="3"/>
        <v>2.3250000000000002</v>
      </c>
      <c r="E27" s="33">
        <f t="shared" si="3"/>
        <v>0.72299999999999998</v>
      </c>
      <c r="F27" s="33">
        <f t="shared" si="3"/>
        <v>1.792</v>
      </c>
      <c r="G27" s="33">
        <f t="shared" si="3"/>
        <v>-0.88900000000000001</v>
      </c>
      <c r="H27" s="32">
        <f t="shared" si="3"/>
        <v>4.0599999999999997E-2</v>
      </c>
      <c r="I27" s="33">
        <f t="shared" si="3"/>
        <v>5.25</v>
      </c>
      <c r="J27" s="34">
        <f t="shared" si="3"/>
        <v>55</v>
      </c>
    </row>
    <row r="28" spans="1:10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30" customHeight="1" x14ac:dyDescent="0.2">
      <c r="A29" s="4"/>
      <c r="B29" s="55" t="s">
        <v>147</v>
      </c>
      <c r="C29" s="55"/>
      <c r="D29" s="55"/>
      <c r="E29" s="55"/>
      <c r="F29" s="55"/>
      <c r="G29" s="55"/>
      <c r="H29" s="55"/>
      <c r="I29" s="55"/>
      <c r="J29" s="55"/>
    </row>
  </sheetData>
  <mergeCells count="4">
    <mergeCell ref="A2:J2"/>
    <mergeCell ref="A3:I3"/>
    <mergeCell ref="A23:J23"/>
    <mergeCell ref="B29:J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8"/>
  <sheetViews>
    <sheetView zoomScaleNormal="100" workbookViewId="0">
      <selection activeCell="G10" sqref="G10"/>
    </sheetView>
  </sheetViews>
  <sheetFormatPr baseColWidth="10" defaultColWidth="8.6640625" defaultRowHeight="15" x14ac:dyDescent="0.2"/>
  <cols>
    <col min="1" max="1" width="3" customWidth="1"/>
    <col min="2" max="2" width="24" customWidth="1"/>
    <col min="3" max="6" width="13" customWidth="1"/>
    <col min="7" max="7" width="73.6640625" customWidth="1"/>
  </cols>
  <sheetData>
    <row r="1" spans="1:7" x14ac:dyDescent="0.2">
      <c r="A1" s="4"/>
      <c r="B1" s="4"/>
      <c r="C1" s="4"/>
      <c r="D1" s="4"/>
      <c r="E1" s="4"/>
      <c r="F1" s="4"/>
      <c r="G1" s="4"/>
    </row>
    <row r="2" spans="1:7" ht="27.75" customHeight="1" x14ac:dyDescent="0.2">
      <c r="A2" s="45" t="s">
        <v>148</v>
      </c>
      <c r="B2" s="45"/>
      <c r="C2" s="45"/>
      <c r="D2" s="45"/>
      <c r="E2" s="45"/>
      <c r="F2" s="45"/>
      <c r="G2" s="45"/>
    </row>
    <row r="3" spans="1:7" x14ac:dyDescent="0.2">
      <c r="A3" s="4"/>
      <c r="B3" s="53" t="s">
        <v>149</v>
      </c>
      <c r="C3" s="53"/>
      <c r="D3" s="53"/>
      <c r="E3" s="53"/>
      <c r="F3" s="53"/>
      <c r="G3" s="53"/>
    </row>
    <row r="4" spans="1:7" x14ac:dyDescent="0.2">
      <c r="A4" s="4"/>
      <c r="B4" s="4"/>
      <c r="C4" s="4"/>
      <c r="D4" s="4"/>
      <c r="E4" s="4"/>
      <c r="F4" s="4"/>
      <c r="G4" s="4"/>
    </row>
    <row r="5" spans="1:7" ht="33.75" customHeight="1" x14ac:dyDescent="0.2">
      <c r="A5" s="4"/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</row>
    <row r="6" spans="1:7" x14ac:dyDescent="0.2">
      <c r="A6" s="4"/>
      <c r="B6" s="17" t="s">
        <v>156</v>
      </c>
      <c r="C6" s="35">
        <v>1.9570000000000001E-2</v>
      </c>
      <c r="D6" s="35">
        <v>-8.9999999999999998E-4</v>
      </c>
      <c r="E6" s="35">
        <v>-0.14233000000000001</v>
      </c>
      <c r="F6" s="35">
        <v>-6.7000000000000002E-3</v>
      </c>
      <c r="G6" s="35">
        <v>-0.11524</v>
      </c>
    </row>
    <row r="7" spans="1:7" x14ac:dyDescent="0.2">
      <c r="A7" s="4"/>
      <c r="B7" s="36" t="s">
        <v>157</v>
      </c>
      <c r="C7" s="37">
        <v>7.8479999999999994E-2</v>
      </c>
      <c r="D7" s="37">
        <v>4.6870000000000002E-2</v>
      </c>
      <c r="E7" s="37">
        <v>0.16713</v>
      </c>
      <c r="F7" s="37">
        <v>7.3150000000000007E-2</v>
      </c>
      <c r="G7" s="37">
        <v>6.4119999999999996E-2</v>
      </c>
    </row>
    <row r="8" spans="1:7" x14ac:dyDescent="0.2">
      <c r="A8" s="4"/>
      <c r="B8" s="36" t="s">
        <v>158</v>
      </c>
      <c r="C8" s="37">
        <v>0.80730000000000002</v>
      </c>
      <c r="D8" s="37">
        <v>0.98499999999999999</v>
      </c>
      <c r="E8" s="37">
        <v>0.41110000000000002</v>
      </c>
      <c r="F8" s="37">
        <v>0.92859999999999998</v>
      </c>
      <c r="G8" s="38">
        <v>9.7500000000000003E-2</v>
      </c>
    </row>
    <row r="9" spans="1:7" x14ac:dyDescent="0.2">
      <c r="A9" s="4"/>
      <c r="B9" s="17" t="s">
        <v>159</v>
      </c>
      <c r="C9" s="35">
        <v>-1.9650000000000001E-2</v>
      </c>
      <c r="D9" s="6"/>
      <c r="E9" s="6"/>
      <c r="F9" s="35">
        <v>-2.9499999999999999E-3</v>
      </c>
      <c r="G9" s="35">
        <v>3.7519999999999998E-2</v>
      </c>
    </row>
    <row r="10" spans="1:7" x14ac:dyDescent="0.2">
      <c r="A10" s="4"/>
      <c r="B10" s="36" t="s">
        <v>157</v>
      </c>
      <c r="C10" s="37">
        <v>4.0710000000000003E-2</v>
      </c>
      <c r="D10" s="6"/>
      <c r="E10" s="6"/>
      <c r="F10" s="37">
        <v>3.7949999999999998E-2</v>
      </c>
      <c r="G10" s="37">
        <v>3.3259999999999998E-2</v>
      </c>
    </row>
    <row r="11" spans="1:7" x14ac:dyDescent="0.2">
      <c r="A11" s="4"/>
      <c r="B11" s="36" t="s">
        <v>158</v>
      </c>
      <c r="C11" s="37">
        <v>0.63800000000000001</v>
      </c>
      <c r="D11" s="6"/>
      <c r="E11" s="6"/>
      <c r="F11" s="37">
        <v>0.93930000000000002</v>
      </c>
      <c r="G11" s="37">
        <v>0.28139999999999998</v>
      </c>
    </row>
    <row r="12" spans="1:7" x14ac:dyDescent="0.2">
      <c r="A12" s="4"/>
      <c r="B12" s="17" t="s">
        <v>123</v>
      </c>
      <c r="C12" s="6"/>
      <c r="D12" s="35">
        <v>1.3390000000000001E-2</v>
      </c>
      <c r="E12" s="6"/>
      <c r="F12" s="6"/>
      <c r="G12" s="6"/>
    </row>
    <row r="13" spans="1:7" x14ac:dyDescent="0.2">
      <c r="A13" s="4"/>
      <c r="B13" s="36" t="s">
        <v>157</v>
      </c>
      <c r="C13" s="6"/>
      <c r="D13" s="37">
        <v>3.5589999999999997E-2</v>
      </c>
      <c r="E13" s="6"/>
      <c r="F13" s="6"/>
      <c r="G13" s="6"/>
    </row>
    <row r="14" spans="1:7" x14ac:dyDescent="0.2">
      <c r="A14" s="4"/>
      <c r="B14" s="36" t="s">
        <v>158</v>
      </c>
      <c r="C14" s="6"/>
      <c r="D14" s="37">
        <v>0.71330000000000005</v>
      </c>
      <c r="E14" s="6"/>
      <c r="F14" s="6"/>
      <c r="G14" s="6"/>
    </row>
    <row r="15" spans="1:7" x14ac:dyDescent="0.2">
      <c r="A15" s="4"/>
      <c r="B15" s="17" t="s">
        <v>160</v>
      </c>
      <c r="C15" s="6"/>
      <c r="D15" s="6"/>
      <c r="E15" s="35">
        <v>7.4459999999999998E-2</v>
      </c>
      <c r="F15" s="6"/>
      <c r="G15" s="6"/>
    </row>
    <row r="16" spans="1:7" x14ac:dyDescent="0.2">
      <c r="A16" s="4"/>
      <c r="B16" s="36" t="s">
        <v>157</v>
      </c>
      <c r="C16" s="6"/>
      <c r="D16" s="6"/>
      <c r="E16" s="37">
        <v>9.9430000000000004E-2</v>
      </c>
      <c r="F16" s="6"/>
      <c r="G16" s="6"/>
    </row>
    <row r="17" spans="1:7" x14ac:dyDescent="0.2">
      <c r="A17" s="4"/>
      <c r="B17" s="36" t="s">
        <v>158</v>
      </c>
      <c r="C17" s="6"/>
      <c r="D17" s="6"/>
      <c r="E17" s="37">
        <v>0.46839999999999998</v>
      </c>
      <c r="F17" s="6"/>
      <c r="G17" s="6"/>
    </row>
    <row r="18" spans="1:7" x14ac:dyDescent="0.2">
      <c r="A18" s="4"/>
      <c r="B18" s="17" t="s">
        <v>124</v>
      </c>
      <c r="C18" s="35">
        <v>0.70733000000000001</v>
      </c>
      <c r="D18" s="35">
        <v>0.72367999999999999</v>
      </c>
      <c r="E18" s="35">
        <v>0.86099999999999999</v>
      </c>
      <c r="F18" s="35">
        <v>0.56660999999999995</v>
      </c>
      <c r="G18" s="35">
        <v>1.7341500000000001</v>
      </c>
    </row>
    <row r="19" spans="1:7" x14ac:dyDescent="0.2">
      <c r="A19" s="4"/>
      <c r="B19" s="36" t="s">
        <v>157</v>
      </c>
      <c r="C19" s="37">
        <v>0.93206</v>
      </c>
      <c r="D19" s="37">
        <v>0.93957999999999997</v>
      </c>
      <c r="E19" s="37">
        <v>0.89725999999999995</v>
      </c>
      <c r="F19" s="37">
        <v>0.86878</v>
      </c>
      <c r="G19" s="37">
        <v>0.76153000000000004</v>
      </c>
    </row>
    <row r="20" spans="1:7" x14ac:dyDescent="0.2">
      <c r="A20" s="4"/>
      <c r="B20" s="36" t="s">
        <v>158</v>
      </c>
      <c r="C20" s="37">
        <v>0.46260000000000001</v>
      </c>
      <c r="D20" s="37">
        <v>0.45610000000000001</v>
      </c>
      <c r="E20" s="37">
        <v>0.35620000000000002</v>
      </c>
      <c r="F20" s="37">
        <v>0.52659999999999996</v>
      </c>
      <c r="G20" s="39">
        <v>4.19E-2</v>
      </c>
    </row>
    <row r="21" spans="1:7" x14ac:dyDescent="0.2">
      <c r="A21" s="4"/>
      <c r="B21" s="4"/>
      <c r="C21" s="4"/>
      <c r="D21" s="4"/>
      <c r="E21" s="4"/>
      <c r="F21" s="4"/>
      <c r="G21" s="4"/>
    </row>
    <row r="22" spans="1:7" x14ac:dyDescent="0.2">
      <c r="A22" s="4"/>
      <c r="B22" s="54" t="s">
        <v>161</v>
      </c>
      <c r="C22" s="54"/>
      <c r="D22" s="54"/>
      <c r="E22" s="54"/>
      <c r="F22" s="54"/>
      <c r="G22" s="54"/>
    </row>
    <row r="23" spans="1:7" x14ac:dyDescent="0.2">
      <c r="A23" s="4"/>
      <c r="B23" s="17" t="s">
        <v>162</v>
      </c>
      <c r="C23" s="35">
        <v>7.9299999999999995E-2</v>
      </c>
      <c r="D23" s="35">
        <v>7.2400000000000006E-2</v>
      </c>
      <c r="E23" s="35">
        <v>0.10340000000000001</v>
      </c>
      <c r="F23" s="35">
        <v>3.85E-2</v>
      </c>
      <c r="G23" s="35">
        <v>0.31690000000000002</v>
      </c>
    </row>
    <row r="24" spans="1:7" x14ac:dyDescent="0.2">
      <c r="A24" s="4"/>
      <c r="B24" s="17" t="s">
        <v>163</v>
      </c>
      <c r="C24" s="35">
        <v>-7.4099999999999999E-2</v>
      </c>
      <c r="D24" s="35">
        <v>-8.2199999999999995E-2</v>
      </c>
      <c r="E24" s="35">
        <v>-4.6100000000000002E-2</v>
      </c>
      <c r="F24" s="35">
        <v>-0.1217</v>
      </c>
      <c r="G24" s="35">
        <v>0.20300000000000001</v>
      </c>
    </row>
    <row r="25" spans="1:7" x14ac:dyDescent="0.2">
      <c r="A25" s="4"/>
      <c r="B25" s="17" t="s">
        <v>164</v>
      </c>
      <c r="C25" s="40">
        <v>0.52</v>
      </c>
      <c r="D25" s="40">
        <v>0.47</v>
      </c>
      <c r="E25" s="40">
        <v>0.69</v>
      </c>
      <c r="F25" s="40">
        <v>0.24</v>
      </c>
      <c r="G25" s="40">
        <v>2.78</v>
      </c>
    </row>
    <row r="26" spans="1:7" x14ac:dyDescent="0.2">
      <c r="A26" s="4"/>
      <c r="B26" s="17" t="s">
        <v>165</v>
      </c>
      <c r="C26" s="35">
        <v>0.60899999999999999</v>
      </c>
      <c r="D26" s="35">
        <v>0.6371</v>
      </c>
      <c r="E26" s="35">
        <v>0.51970000000000005</v>
      </c>
      <c r="F26" s="35">
        <v>0.79010000000000002</v>
      </c>
      <c r="G26" s="35">
        <v>0.1016</v>
      </c>
    </row>
    <row r="27" spans="1:7" x14ac:dyDescent="0.2">
      <c r="A27" s="4"/>
      <c r="B27" s="17" t="s">
        <v>166</v>
      </c>
      <c r="C27" s="35">
        <v>3.5610000000000003E-2</v>
      </c>
      <c r="D27" s="35">
        <v>3.5749999999999997E-2</v>
      </c>
      <c r="E27" s="35">
        <v>3.5150000000000001E-2</v>
      </c>
      <c r="F27" s="35">
        <v>3.32E-2</v>
      </c>
      <c r="G27" s="35">
        <v>2.9100000000000001E-2</v>
      </c>
    </row>
    <row r="28" spans="1:7" x14ac:dyDescent="0.2">
      <c r="A28" s="4"/>
      <c r="B28" s="17" t="s">
        <v>167</v>
      </c>
      <c r="C28" s="25">
        <v>15</v>
      </c>
      <c r="D28" s="25">
        <v>15</v>
      </c>
      <c r="E28" s="25">
        <v>15</v>
      </c>
      <c r="F28" s="25">
        <v>15</v>
      </c>
      <c r="G28" s="25">
        <v>15</v>
      </c>
    </row>
    <row r="29" spans="1:7" x14ac:dyDescent="0.2">
      <c r="A29" s="4"/>
      <c r="B29" s="4"/>
      <c r="C29" s="4"/>
      <c r="D29" s="4"/>
      <c r="E29" s="4"/>
      <c r="F29" s="4"/>
      <c r="G29" s="4"/>
    </row>
    <row r="30" spans="1:7" x14ac:dyDescent="0.2">
      <c r="A30" s="4"/>
      <c r="B30" s="4"/>
      <c r="C30" s="4"/>
      <c r="D30" s="4"/>
      <c r="E30" s="4"/>
      <c r="F30" s="4"/>
      <c r="G30" s="4"/>
    </row>
    <row r="31" spans="1:7" x14ac:dyDescent="0.2">
      <c r="A31" s="4"/>
      <c r="B31" s="57" t="s">
        <v>168</v>
      </c>
      <c r="C31" s="57"/>
      <c r="D31" s="57"/>
      <c r="E31" s="57"/>
      <c r="F31" s="57"/>
      <c r="G31" s="57"/>
    </row>
    <row r="32" spans="1:7" ht="18" customHeight="1" x14ac:dyDescent="0.2">
      <c r="A32" s="4"/>
      <c r="B32" s="56" t="s">
        <v>169</v>
      </c>
      <c r="C32" s="56"/>
      <c r="D32" s="56"/>
      <c r="E32" s="56"/>
      <c r="F32" s="56"/>
      <c r="G32" s="56"/>
    </row>
    <row r="33" spans="1:7" ht="18" customHeight="1" x14ac:dyDescent="0.2">
      <c r="A33" s="4"/>
      <c r="B33" s="56" t="s">
        <v>170</v>
      </c>
      <c r="C33" s="56"/>
      <c r="D33" s="56"/>
      <c r="E33" s="56"/>
      <c r="F33" s="56"/>
      <c r="G33" s="56"/>
    </row>
    <row r="34" spans="1:7" ht="18" customHeight="1" x14ac:dyDescent="0.2">
      <c r="A34" s="4"/>
      <c r="B34" s="56" t="s">
        <v>171</v>
      </c>
      <c r="C34" s="56"/>
      <c r="D34" s="56"/>
      <c r="E34" s="56"/>
      <c r="F34" s="56"/>
      <c r="G34" s="56"/>
    </row>
    <row r="35" spans="1:7" ht="18" customHeight="1" x14ac:dyDescent="0.2">
      <c r="A35" s="4"/>
      <c r="B35" s="56" t="s">
        <v>172</v>
      </c>
      <c r="C35" s="56"/>
      <c r="D35" s="56"/>
      <c r="E35" s="56"/>
      <c r="F35" s="56"/>
      <c r="G35" s="56"/>
    </row>
    <row r="36" spans="1:7" ht="34" customHeight="1" x14ac:dyDescent="0.2">
      <c r="B36" s="56" t="s">
        <v>173</v>
      </c>
      <c r="C36" s="56"/>
      <c r="D36" s="56"/>
      <c r="E36" s="56"/>
      <c r="F36" s="56"/>
      <c r="G36" s="56"/>
    </row>
    <row r="38" spans="1:7" x14ac:dyDescent="0.2">
      <c r="A38" s="4"/>
    </row>
  </sheetData>
  <mergeCells count="9">
    <mergeCell ref="B33:G33"/>
    <mergeCell ref="B34:G34"/>
    <mergeCell ref="B35:G35"/>
    <mergeCell ref="B36:G36"/>
    <mergeCell ref="A2:G2"/>
    <mergeCell ref="B3:G3"/>
    <mergeCell ref="B22:G22"/>
    <mergeCell ref="B31:G31"/>
    <mergeCell ref="B32:G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tabSelected="1" zoomScaleNormal="100" workbookViewId="0">
      <selection activeCell="C8" sqref="C8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3" width="80" customWidth="1"/>
  </cols>
  <sheetData>
    <row r="1" spans="1:3" x14ac:dyDescent="0.2">
      <c r="A1" s="4"/>
      <c r="B1" s="4"/>
      <c r="C1" s="4"/>
    </row>
    <row r="2" spans="1:3" ht="27.75" customHeight="1" x14ac:dyDescent="0.2">
      <c r="A2" s="45" t="s">
        <v>174</v>
      </c>
      <c r="B2" s="45"/>
      <c r="C2" s="45"/>
    </row>
    <row r="3" spans="1:3" x14ac:dyDescent="0.2">
      <c r="A3" s="4"/>
      <c r="B3" s="4"/>
      <c r="C3" s="4"/>
    </row>
    <row r="4" spans="1:3" ht="19.5" customHeight="1" x14ac:dyDescent="0.2">
      <c r="A4" s="43" t="s">
        <v>175</v>
      </c>
      <c r="B4" s="43"/>
      <c r="C4" s="43"/>
    </row>
    <row r="5" spans="1:3" ht="36" customHeight="1" x14ac:dyDescent="0.2">
      <c r="A5" s="4"/>
      <c r="B5" s="5" t="s">
        <v>176</v>
      </c>
      <c r="C5" s="3" t="s">
        <v>177</v>
      </c>
    </row>
    <row r="6" spans="1:3" ht="36" customHeight="1" x14ac:dyDescent="0.2">
      <c r="A6" s="4"/>
      <c r="B6" s="5" t="s">
        <v>178</v>
      </c>
      <c r="C6" s="3" t="s">
        <v>179</v>
      </c>
    </row>
    <row r="7" spans="1:3" ht="36" customHeight="1" x14ac:dyDescent="0.2">
      <c r="A7" s="4"/>
      <c r="B7" s="5" t="s">
        <v>180</v>
      </c>
      <c r="C7" s="3" t="s">
        <v>181</v>
      </c>
    </row>
    <row r="8" spans="1:3" ht="36" customHeight="1" x14ac:dyDescent="0.2">
      <c r="A8" s="4"/>
      <c r="B8" s="5" t="s">
        <v>182</v>
      </c>
      <c r="C8" s="3" t="s">
        <v>183</v>
      </c>
    </row>
    <row r="9" spans="1:3" ht="36" customHeight="1" x14ac:dyDescent="0.2">
      <c r="A9" s="4"/>
      <c r="B9" s="5" t="s">
        <v>184</v>
      </c>
      <c r="C9" s="3" t="s">
        <v>185</v>
      </c>
    </row>
    <row r="10" spans="1:3" ht="36" customHeight="1" x14ac:dyDescent="0.2">
      <c r="A10" s="4"/>
      <c r="B10" s="5" t="s">
        <v>186</v>
      </c>
      <c r="C10" s="3" t="s">
        <v>187</v>
      </c>
    </row>
    <row r="11" spans="1:3" x14ac:dyDescent="0.2">
      <c r="A11" s="4"/>
      <c r="B11" s="4"/>
      <c r="C11" s="4"/>
    </row>
    <row r="12" spans="1:3" ht="19.5" customHeight="1" x14ac:dyDescent="0.2">
      <c r="A12" s="43" t="s">
        <v>188</v>
      </c>
      <c r="B12" s="43"/>
      <c r="C12" s="43"/>
    </row>
    <row r="13" spans="1:3" ht="33.75" customHeight="1" x14ac:dyDescent="0.2">
      <c r="A13" s="4"/>
      <c r="B13" s="5" t="s">
        <v>189</v>
      </c>
      <c r="C13" s="3" t="s">
        <v>190</v>
      </c>
    </row>
    <row r="14" spans="1:3" ht="33.75" customHeight="1" x14ac:dyDescent="0.2">
      <c r="A14" s="4"/>
      <c r="B14" s="5" t="s">
        <v>191</v>
      </c>
      <c r="C14" s="3" t="s">
        <v>192</v>
      </c>
    </row>
    <row r="15" spans="1:3" ht="33.75" customHeight="1" x14ac:dyDescent="0.2">
      <c r="A15" s="4"/>
      <c r="B15" s="5" t="s">
        <v>193</v>
      </c>
      <c r="C15" s="3" t="s">
        <v>194</v>
      </c>
    </row>
    <row r="16" spans="1:3" ht="33.75" customHeight="1" x14ac:dyDescent="0.2">
      <c r="A16" s="4"/>
      <c r="B16" s="5" t="s">
        <v>195</v>
      </c>
      <c r="C16" s="3" t="s">
        <v>196</v>
      </c>
    </row>
    <row r="17" spans="1:3" ht="33.75" customHeight="1" x14ac:dyDescent="0.2">
      <c r="A17" s="4"/>
      <c r="B17" s="5" t="s">
        <v>197</v>
      </c>
      <c r="C17" s="3" t="s">
        <v>198</v>
      </c>
    </row>
    <row r="18" spans="1:3" x14ac:dyDescent="0.2">
      <c r="A18" s="4"/>
      <c r="B18" s="4"/>
      <c r="C18" s="4"/>
    </row>
    <row r="19" spans="1:3" ht="19.5" customHeight="1" x14ac:dyDescent="0.2">
      <c r="A19" s="43" t="s">
        <v>199</v>
      </c>
      <c r="B19" s="43"/>
      <c r="C19" s="43"/>
    </row>
    <row r="20" spans="1:3" ht="21.75" customHeight="1" x14ac:dyDescent="0.2">
      <c r="A20" s="4"/>
      <c r="B20" s="5" t="s">
        <v>200</v>
      </c>
      <c r="C20" s="3" t="s">
        <v>201</v>
      </c>
    </row>
    <row r="21" spans="1:3" ht="21.75" customHeight="1" x14ac:dyDescent="0.2">
      <c r="A21" s="4"/>
      <c r="B21" s="5" t="s">
        <v>202</v>
      </c>
      <c r="C21" s="3" t="s">
        <v>203</v>
      </c>
    </row>
    <row r="22" spans="1:3" ht="21.75" customHeight="1" x14ac:dyDescent="0.2">
      <c r="A22" s="4"/>
      <c r="B22" s="5" t="s">
        <v>204</v>
      </c>
      <c r="C22" s="3" t="s">
        <v>205</v>
      </c>
    </row>
  </sheetData>
  <mergeCells count="4">
    <mergeCell ref="A2:C2"/>
    <mergeCell ref="A4:C4"/>
    <mergeCell ref="A12:C12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Task Contributions</vt:lpstr>
      <vt:lpstr>Gen AI Disclosure</vt:lpstr>
      <vt:lpstr>Data Tables</vt:lpstr>
      <vt:lpstr>Results Summary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Feroz Khan</cp:lastModifiedBy>
  <cp:revision>0</cp:revision>
  <dcterms:created xsi:type="dcterms:W3CDTF">2026-04-23T05:01:17Z</dcterms:created>
  <dcterms:modified xsi:type="dcterms:W3CDTF">2026-04-23T05:25:57Z</dcterms:modified>
  <dc:language>en-US</dc:language>
</cp:coreProperties>
</file>